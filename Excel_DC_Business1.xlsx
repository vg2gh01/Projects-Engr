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-BKUP\Portfo-Proj\"/>
    </mc:Choice>
  </mc:AlternateContent>
  <xr:revisionPtr revIDLastSave="0" documentId="8_{6B61E7E7-D361-4A5F-B023-C208D658DC52}" xr6:coauthVersionLast="47" xr6:coauthVersionMax="47" xr10:uidLastSave="{00000000-0000-0000-0000-000000000000}"/>
  <bookViews>
    <workbookView xWindow="34680" yWindow="225" windowWidth="22650" windowHeight="16590" xr2:uid="{6E1944CD-5ABE-4E3F-8750-9077D0BCF788}"/>
  </bookViews>
  <sheets>
    <sheet name="Proj_Sample-Busines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1" l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<sst xmlns="http://schemas.openxmlformats.org/spreadsheetml/2006/main" count="108" uniqueCount="38">
  <si>
    <t>Cust ID</t>
  </si>
  <si>
    <t>Customer</t>
  </si>
  <si>
    <t>Product ID</t>
  </si>
  <si>
    <t>Order ID</t>
  </si>
  <si>
    <t>Units Sold</t>
  </si>
  <si>
    <t>Date Purchased</t>
  </si>
  <si>
    <t>Uncle Joe's Prep Shop</t>
  </si>
  <si>
    <t xml:space="preserve">Alex The Analyst Apocolype Preppers </t>
  </si>
  <si>
    <t>Apocolypse Preppers United</t>
  </si>
  <si>
    <t>Prep4Anything Prepping Store</t>
  </si>
  <si>
    <t>Buyer ID</t>
  </si>
  <si>
    <t>Product ID Purchased</t>
  </si>
  <si>
    <t>Total Purchased</t>
  </si>
  <si>
    <t>State</t>
  </si>
  <si>
    <t>Age</t>
  </si>
  <si>
    <t>Customer ID</t>
  </si>
  <si>
    <t>TX</t>
  </si>
  <si>
    <t>MI</t>
  </si>
  <si>
    <t>FL</t>
  </si>
  <si>
    <t>NY</t>
  </si>
  <si>
    <t>DE</t>
  </si>
  <si>
    <t>IL</t>
  </si>
  <si>
    <t>NC</t>
  </si>
  <si>
    <t>MN</t>
  </si>
  <si>
    <t>Address</t>
  </si>
  <si>
    <t>City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</si>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</sst>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14" fontId="0" fillId="0" borderId="0" xfId="0" applyNumberFormat="1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L_EJP\EJP\AlexTheAnalyst\Power%20BI%20Desktop\Apocolypse%20Food%20Prep%20-%20Bins%20Lists%20Tutorial_1.xlsx" TargetMode="External"/><Relationship Id="rId1" Type="http://schemas.openxmlformats.org/officeDocument/2006/relationships/externalLinkPath" Target="file:///E:\DL_EJP\EJP\AlexTheAnalyst\Power%20BI%20Desktop\Apocolypse%20Food%20Prep%20-%20Bins%20Lists%20Tutorial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ocolypse Store"/>
      <sheetName val="Apocolypse Sales"/>
      <sheetName val="Customer Information"/>
      <sheetName val="Customer Buyer Information"/>
    </sheetNames>
    <sheetDataSet>
      <sheetData sheetId="0"/>
      <sheetData sheetId="1"/>
      <sheetData sheetId="2">
        <row r="1">
          <cell r="A1" t="str">
            <v>Customer ID</v>
          </cell>
          <cell r="B1" t="str">
            <v>Customer</v>
          </cell>
        </row>
        <row r="2">
          <cell r="A2">
            <v>1234</v>
          </cell>
          <cell r="B2" t="str">
            <v>Uncle Joe's Prep Shop</v>
          </cell>
        </row>
        <row r="3">
          <cell r="A3">
            <v>9876</v>
          </cell>
          <cell r="B3" t="str">
            <v xml:space="preserve">Alex The Analyst Apocolype Preppers </v>
          </cell>
        </row>
        <row r="4">
          <cell r="A4">
            <v>2468</v>
          </cell>
          <cell r="B4" t="str">
            <v>Apocolypse Preppers United</v>
          </cell>
        </row>
        <row r="5">
          <cell r="A5">
            <v>1357</v>
          </cell>
          <cell r="B5" t="str">
            <v>Prep4Anything Prepping Store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5C70-AEDB-45DF-8B09-ECC5DD39B6C0}">
  <dimension ref="A1:S44"/>
  <sheetViews>
    <sheetView tabSelected="1" workbookViewId="0">
      <selection activeCell="O14" sqref="O14"/>
    </sheetView>
  </sheetViews>
  <sheetFormatPr defaultRowHeight="15" x14ac:dyDescent="0.2"/>
  <cols>
    <col min="1" max="1" width="5.33203125" customWidth="1"/>
    <col min="3" max="3" width="7.77734375" customWidth="1"/>
    <col min="4" max="4" width="6.33203125" customWidth="1"/>
    <col min="5" max="5" width="6.44140625" customWidth="1"/>
    <col min="6" max="6" width="9.88671875" customWidth="1"/>
    <col min="7" max="7" width="4.109375" customWidth="1"/>
    <col min="9" max="9" width="9.88671875" customWidth="1"/>
    <col min="10" max="10" width="9.44140625" customWidth="1"/>
  </cols>
  <sheetData>
    <row r="1" spans="1:19" ht="8.2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30.75" thickBo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8" t="s">
        <v>15</v>
      </c>
      <c r="O2" s="8" t="s">
        <v>1</v>
      </c>
      <c r="P2" s="8" t="s">
        <v>24</v>
      </c>
      <c r="Q2" s="8" t="s">
        <v>25</v>
      </c>
      <c r="R2" s="8" t="s">
        <v>13</v>
      </c>
      <c r="S2" s="8" t="s">
        <v>26</v>
      </c>
    </row>
    <row r="3" spans="1:19" ht="15.75" thickTop="1" x14ac:dyDescent="0.2">
      <c r="A3" s="1">
        <f>_xlfn.XLOOKUP(B3,'[1]Customer Information'!B:B,'[1]Customer Information'!A:A)</f>
        <v>1234</v>
      </c>
      <c r="B3" s="1" t="s">
        <v>6</v>
      </c>
      <c r="C3" s="1">
        <v>10006</v>
      </c>
      <c r="D3" s="1">
        <v>1904</v>
      </c>
      <c r="E3" s="1">
        <v>32</v>
      </c>
      <c r="F3" s="2">
        <v>44562</v>
      </c>
      <c r="H3" s="1">
        <v>115371</v>
      </c>
      <c r="I3" s="1">
        <v>10003</v>
      </c>
      <c r="J3" s="1">
        <v>396</v>
      </c>
      <c r="K3" s="1" t="s">
        <v>16</v>
      </c>
      <c r="L3" s="1">
        <v>78</v>
      </c>
      <c r="M3" s="1">
        <v>1234</v>
      </c>
      <c r="N3" s="3">
        <v>1234</v>
      </c>
      <c r="O3" s="3" t="s">
        <v>6</v>
      </c>
      <c r="P3" s="3" t="s">
        <v>27</v>
      </c>
      <c r="Q3" s="3" t="s">
        <v>28</v>
      </c>
      <c r="R3" s="3" t="s">
        <v>29</v>
      </c>
      <c r="S3" s="3">
        <v>70571</v>
      </c>
    </row>
    <row r="4" spans="1:19" x14ac:dyDescent="0.2">
      <c r="A4" s="3">
        <f>_xlfn.XLOOKUP(B4,'[1]Customer Information'!B:B,'[1]Customer Information'!A:A)</f>
        <v>9876</v>
      </c>
      <c r="B4" s="3" t="s">
        <v>7</v>
      </c>
      <c r="C4" s="3">
        <v>10005</v>
      </c>
      <c r="D4" s="3">
        <v>3966</v>
      </c>
      <c r="E4" s="3">
        <v>68</v>
      </c>
      <c r="F4" s="4">
        <v>44563</v>
      </c>
      <c r="H4" s="3">
        <v>110477</v>
      </c>
      <c r="I4" s="3">
        <v>10010</v>
      </c>
      <c r="J4" s="3">
        <v>12</v>
      </c>
      <c r="K4" s="3" t="s">
        <v>17</v>
      </c>
      <c r="L4" s="3">
        <v>66</v>
      </c>
      <c r="M4" s="3">
        <v>9876</v>
      </c>
      <c r="N4" s="3">
        <v>9876</v>
      </c>
      <c r="O4" s="3" t="s">
        <v>7</v>
      </c>
      <c r="P4" s="3" t="s">
        <v>30</v>
      </c>
      <c r="Q4" s="3" t="s">
        <v>31</v>
      </c>
      <c r="R4" s="3" t="s">
        <v>31</v>
      </c>
      <c r="S4" s="3">
        <v>12546</v>
      </c>
    </row>
    <row r="5" spans="1:19" x14ac:dyDescent="0.2">
      <c r="A5" s="3">
        <f>_xlfn.XLOOKUP(B5,'[1]Customer Information'!B:B,'[1]Customer Information'!A:A)</f>
        <v>2468</v>
      </c>
      <c r="B5" s="3" t="s">
        <v>8</v>
      </c>
      <c r="C5" s="3">
        <v>10004</v>
      </c>
      <c r="D5" s="3">
        <v>7348</v>
      </c>
      <c r="E5" s="3">
        <v>69</v>
      </c>
      <c r="F5" s="4">
        <v>44564</v>
      </c>
      <c r="H5" s="3">
        <v>158272</v>
      </c>
      <c r="I5" s="3">
        <v>10002</v>
      </c>
      <c r="J5" s="3">
        <v>112</v>
      </c>
      <c r="K5" s="3" t="s">
        <v>16</v>
      </c>
      <c r="L5" s="3">
        <v>32</v>
      </c>
      <c r="M5" s="3">
        <v>2468</v>
      </c>
      <c r="N5" s="3">
        <v>2468</v>
      </c>
      <c r="O5" s="3" t="s">
        <v>8</v>
      </c>
      <c r="P5" s="3" t="s">
        <v>32</v>
      </c>
      <c r="Q5" s="3" t="s">
        <v>33</v>
      </c>
      <c r="R5" s="3" t="s">
        <v>34</v>
      </c>
      <c r="S5" s="3">
        <v>93873</v>
      </c>
    </row>
    <row r="6" spans="1:19" x14ac:dyDescent="0.2">
      <c r="A6" s="3">
        <f>_xlfn.XLOOKUP(B6,'[1]Customer Information'!B:B,'[1]Customer Information'!A:A)</f>
        <v>1357</v>
      </c>
      <c r="B6" s="3" t="s">
        <v>9</v>
      </c>
      <c r="C6" s="3">
        <v>10005</v>
      </c>
      <c r="D6" s="3">
        <v>2409</v>
      </c>
      <c r="E6" s="3">
        <v>48</v>
      </c>
      <c r="F6" s="4">
        <v>44565</v>
      </c>
      <c r="H6" s="3">
        <v>182115</v>
      </c>
      <c r="I6" s="3">
        <v>10009</v>
      </c>
      <c r="J6" s="3">
        <v>454</v>
      </c>
      <c r="K6" s="3" t="s">
        <v>18</v>
      </c>
      <c r="L6" s="3">
        <v>41</v>
      </c>
      <c r="M6" s="3">
        <v>1357</v>
      </c>
      <c r="N6" s="3">
        <v>1357</v>
      </c>
      <c r="O6" s="3" t="s">
        <v>9</v>
      </c>
      <c r="P6" s="3" t="s">
        <v>35</v>
      </c>
      <c r="Q6" s="3" t="s">
        <v>36</v>
      </c>
      <c r="R6" s="3" t="s">
        <v>37</v>
      </c>
      <c r="S6" s="3">
        <v>34979</v>
      </c>
    </row>
    <row r="7" spans="1:19" x14ac:dyDescent="0.2">
      <c r="A7" s="3">
        <f>_xlfn.XLOOKUP(B7,'[1]Customer Information'!B:B,'[1]Customer Information'!A:A)</f>
        <v>1234</v>
      </c>
      <c r="B7" s="3" t="s">
        <v>6</v>
      </c>
      <c r="C7" s="3">
        <v>10010</v>
      </c>
      <c r="D7" s="3">
        <v>2045</v>
      </c>
      <c r="E7" s="3">
        <v>70</v>
      </c>
      <c r="F7" s="4">
        <v>44566</v>
      </c>
      <c r="H7" s="3">
        <v>183142</v>
      </c>
      <c r="I7" s="3">
        <v>10005</v>
      </c>
      <c r="J7" s="3">
        <v>102</v>
      </c>
      <c r="K7" s="3" t="s">
        <v>19</v>
      </c>
      <c r="L7" s="3">
        <v>44</v>
      </c>
      <c r="M7" s="3">
        <v>1234</v>
      </c>
    </row>
    <row r="8" spans="1:19" x14ac:dyDescent="0.2">
      <c r="A8" s="3">
        <f>_xlfn.XLOOKUP(B8,'[1]Customer Information'!B:B,'[1]Customer Information'!A:A)</f>
        <v>9876</v>
      </c>
      <c r="B8" s="3" t="s">
        <v>7</v>
      </c>
      <c r="C8" s="3">
        <v>10008</v>
      </c>
      <c r="D8" s="3">
        <v>9151</v>
      </c>
      <c r="E8" s="3">
        <v>6</v>
      </c>
      <c r="F8" s="4">
        <v>44567</v>
      </c>
      <c r="H8" s="3">
        <v>189763</v>
      </c>
      <c r="I8" s="3">
        <v>10007</v>
      </c>
      <c r="J8" s="3">
        <v>68</v>
      </c>
      <c r="K8" s="3" t="s">
        <v>19</v>
      </c>
      <c r="L8" s="3">
        <v>46</v>
      </c>
      <c r="M8" s="3">
        <v>9876</v>
      </c>
    </row>
    <row r="9" spans="1:19" x14ac:dyDescent="0.2">
      <c r="A9" s="3">
        <f>_xlfn.XLOOKUP(B9,'[1]Customer Information'!B:B,'[1]Customer Information'!A:A)</f>
        <v>2468</v>
      </c>
      <c r="B9" s="3" t="s">
        <v>8</v>
      </c>
      <c r="C9" s="3">
        <v>10003</v>
      </c>
      <c r="D9" s="3">
        <v>1065</v>
      </c>
      <c r="E9" s="3">
        <v>59</v>
      </c>
      <c r="F9" s="4">
        <v>44568</v>
      </c>
      <c r="H9" s="3">
        <v>133758</v>
      </c>
      <c r="I9" s="3">
        <v>10010</v>
      </c>
      <c r="J9" s="3">
        <v>496</v>
      </c>
      <c r="K9" s="3" t="s">
        <v>20</v>
      </c>
      <c r="L9" s="3">
        <v>41</v>
      </c>
      <c r="M9" s="3">
        <v>2468</v>
      </c>
    </row>
    <row r="10" spans="1:19" x14ac:dyDescent="0.2">
      <c r="A10" s="3">
        <f>_xlfn.XLOOKUP(B10,'[1]Customer Information'!B:B,'[1]Customer Information'!A:A)</f>
        <v>1357</v>
      </c>
      <c r="B10" s="3" t="s">
        <v>9</v>
      </c>
      <c r="C10" s="3">
        <v>10003</v>
      </c>
      <c r="D10" s="3">
        <v>3780</v>
      </c>
      <c r="E10" s="3">
        <v>72</v>
      </c>
      <c r="F10" s="4">
        <v>44569</v>
      </c>
      <c r="H10" s="3">
        <v>133732</v>
      </c>
      <c r="I10" s="3">
        <v>10009</v>
      </c>
      <c r="J10" s="3">
        <v>956</v>
      </c>
      <c r="K10" s="3" t="s">
        <v>20</v>
      </c>
      <c r="L10" s="3">
        <v>79</v>
      </c>
      <c r="M10" s="3">
        <v>1357</v>
      </c>
    </row>
    <row r="11" spans="1:19" x14ac:dyDescent="0.2">
      <c r="A11" s="3">
        <f>_xlfn.XLOOKUP(B11,'[1]Customer Information'!B:B,'[1]Customer Information'!A:A)</f>
        <v>1234</v>
      </c>
      <c r="B11" s="3" t="s">
        <v>6</v>
      </c>
      <c r="C11" s="3">
        <v>10001</v>
      </c>
      <c r="D11" s="3">
        <v>1043</v>
      </c>
      <c r="E11" s="3">
        <v>67</v>
      </c>
      <c r="F11" s="4">
        <v>44570</v>
      </c>
      <c r="H11" s="3">
        <v>109880</v>
      </c>
      <c r="I11" s="3">
        <v>10009</v>
      </c>
      <c r="J11" s="3">
        <v>218</v>
      </c>
      <c r="K11" s="3" t="s">
        <v>17</v>
      </c>
      <c r="L11" s="3">
        <v>62</v>
      </c>
      <c r="M11" s="3">
        <v>1234</v>
      </c>
    </row>
    <row r="12" spans="1:19" x14ac:dyDescent="0.2">
      <c r="A12" s="3">
        <f>_xlfn.XLOOKUP(B12,'[1]Customer Information'!B:B,'[1]Customer Information'!A:A)</f>
        <v>9876</v>
      </c>
      <c r="B12" s="3" t="s">
        <v>7</v>
      </c>
      <c r="C12" s="3">
        <v>10007</v>
      </c>
      <c r="D12" s="3">
        <v>7075</v>
      </c>
      <c r="E12" s="3">
        <v>7</v>
      </c>
      <c r="F12" s="4">
        <v>44571</v>
      </c>
      <c r="H12" s="3">
        <v>165031</v>
      </c>
      <c r="I12" s="3">
        <v>10008</v>
      </c>
      <c r="J12" s="3">
        <v>677</v>
      </c>
      <c r="K12" s="3" t="s">
        <v>21</v>
      </c>
      <c r="L12" s="3">
        <v>30</v>
      </c>
      <c r="M12" s="3">
        <v>9876</v>
      </c>
    </row>
    <row r="13" spans="1:19" x14ac:dyDescent="0.2">
      <c r="A13" s="3">
        <f>_xlfn.XLOOKUP(B13,'[1]Customer Information'!B:B,'[1]Customer Information'!A:A)</f>
        <v>2468</v>
      </c>
      <c r="B13" s="3" t="s">
        <v>8</v>
      </c>
      <c r="C13" s="3">
        <v>10001</v>
      </c>
      <c r="D13" s="3">
        <v>6778</v>
      </c>
      <c r="E13" s="3">
        <v>23</v>
      </c>
      <c r="F13" s="4">
        <v>44572</v>
      </c>
      <c r="H13" s="3">
        <v>159401</v>
      </c>
      <c r="I13" s="3">
        <v>10006</v>
      </c>
      <c r="J13" s="3">
        <v>62</v>
      </c>
      <c r="K13" s="3" t="s">
        <v>20</v>
      </c>
      <c r="L13" s="3">
        <v>44</v>
      </c>
      <c r="M13" s="3">
        <v>2468</v>
      </c>
    </row>
    <row r="14" spans="1:19" x14ac:dyDescent="0.2">
      <c r="A14" s="3">
        <f>_xlfn.XLOOKUP(B14,'[1]Customer Information'!B:B,'[1]Customer Information'!A:A)</f>
        <v>1357</v>
      </c>
      <c r="B14" s="3" t="s">
        <v>9</v>
      </c>
      <c r="C14" s="3">
        <v>10008</v>
      </c>
      <c r="D14" s="3">
        <v>3572</v>
      </c>
      <c r="E14" s="3">
        <v>56</v>
      </c>
      <c r="F14" s="4">
        <v>44573</v>
      </c>
      <c r="H14" s="3">
        <v>152614</v>
      </c>
      <c r="I14" s="3">
        <v>10007</v>
      </c>
      <c r="J14" s="3">
        <v>893</v>
      </c>
      <c r="K14" s="3" t="s">
        <v>21</v>
      </c>
      <c r="L14" s="3">
        <v>64</v>
      </c>
      <c r="M14" s="3">
        <v>1357</v>
      </c>
    </row>
    <row r="15" spans="1:19" x14ac:dyDescent="0.2">
      <c r="A15" s="3">
        <f>_xlfn.XLOOKUP(B15,'[1]Customer Information'!B:B,'[1]Customer Information'!A:A)</f>
        <v>1234</v>
      </c>
      <c r="B15" s="3" t="s">
        <v>6</v>
      </c>
      <c r="C15" s="3">
        <v>10006</v>
      </c>
      <c r="D15" s="3">
        <v>4033</v>
      </c>
      <c r="E15" s="3">
        <v>51</v>
      </c>
      <c r="F15" s="4">
        <v>44574</v>
      </c>
      <c r="H15" s="3">
        <v>187245</v>
      </c>
      <c r="I15" s="3">
        <v>10009</v>
      </c>
      <c r="J15" s="3">
        <v>42</v>
      </c>
      <c r="K15" s="3" t="s">
        <v>18</v>
      </c>
      <c r="L15" s="3">
        <v>30</v>
      </c>
      <c r="M15" s="3">
        <v>1234</v>
      </c>
    </row>
    <row r="16" spans="1:19" x14ac:dyDescent="0.2">
      <c r="A16" s="3">
        <f>_xlfn.XLOOKUP(B16,'[1]Customer Information'!B:B,'[1]Customer Information'!A:A)</f>
        <v>9876</v>
      </c>
      <c r="B16" s="3" t="s">
        <v>7</v>
      </c>
      <c r="C16" s="3">
        <v>10005</v>
      </c>
      <c r="D16" s="3">
        <v>2073</v>
      </c>
      <c r="E16" s="3">
        <v>2</v>
      </c>
      <c r="F16" s="4">
        <v>44575</v>
      </c>
      <c r="H16" s="3">
        <v>129003</v>
      </c>
      <c r="I16" s="3">
        <v>10007</v>
      </c>
      <c r="J16" s="3">
        <v>597</v>
      </c>
      <c r="K16" s="3" t="s">
        <v>22</v>
      </c>
      <c r="L16" s="3">
        <v>29</v>
      </c>
      <c r="M16" s="3">
        <v>9876</v>
      </c>
    </row>
    <row r="17" spans="1:13" x14ac:dyDescent="0.2">
      <c r="A17" s="3">
        <f>_xlfn.XLOOKUP(B17,'[1]Customer Information'!B:B,'[1]Customer Information'!A:A)</f>
        <v>2468</v>
      </c>
      <c r="B17" s="3" t="s">
        <v>8</v>
      </c>
      <c r="C17" s="3">
        <v>10010</v>
      </c>
      <c r="D17" s="3">
        <v>7333</v>
      </c>
      <c r="E17" s="3">
        <v>45</v>
      </c>
      <c r="F17" s="4">
        <v>44576</v>
      </c>
      <c r="H17" s="3">
        <v>175723</v>
      </c>
      <c r="I17" s="3">
        <v>10006</v>
      </c>
      <c r="J17" s="3">
        <v>977</v>
      </c>
      <c r="K17" s="3" t="s">
        <v>19</v>
      </c>
      <c r="L17" s="3">
        <v>46</v>
      </c>
      <c r="M17" s="3">
        <v>2468</v>
      </c>
    </row>
    <row r="18" spans="1:13" x14ac:dyDescent="0.2">
      <c r="A18" s="3">
        <f>_xlfn.XLOOKUP(B18,'[1]Customer Information'!B:B,'[1]Customer Information'!A:A)</f>
        <v>1357</v>
      </c>
      <c r="B18" s="3" t="s">
        <v>9</v>
      </c>
      <c r="C18" s="3">
        <v>10005</v>
      </c>
      <c r="D18" s="3">
        <v>3352</v>
      </c>
      <c r="E18" s="3">
        <v>13</v>
      </c>
      <c r="F18" s="4">
        <v>44577</v>
      </c>
      <c r="H18" s="3">
        <v>157298</v>
      </c>
      <c r="I18" s="3">
        <v>10006</v>
      </c>
      <c r="J18" s="3">
        <v>40</v>
      </c>
      <c r="K18" s="3" t="s">
        <v>23</v>
      </c>
      <c r="L18" s="3">
        <v>23</v>
      </c>
      <c r="M18" s="3">
        <v>1357</v>
      </c>
    </row>
    <row r="19" spans="1:13" x14ac:dyDescent="0.2">
      <c r="A19" s="3">
        <f>_xlfn.XLOOKUP(B19,'[1]Customer Information'!B:B,'[1]Customer Information'!A:A)</f>
        <v>1234</v>
      </c>
      <c r="B19" s="3" t="s">
        <v>6</v>
      </c>
      <c r="C19" s="3">
        <v>10003</v>
      </c>
      <c r="D19" s="3">
        <v>2078</v>
      </c>
      <c r="E19" s="3">
        <v>4</v>
      </c>
      <c r="F19" s="4">
        <v>44578</v>
      </c>
      <c r="H19" s="3">
        <v>167781</v>
      </c>
      <c r="I19" s="3">
        <v>10009</v>
      </c>
      <c r="J19" s="3">
        <v>423</v>
      </c>
      <c r="K19" s="3" t="s">
        <v>20</v>
      </c>
      <c r="L19" s="3">
        <v>72</v>
      </c>
      <c r="M19" s="3">
        <v>1234</v>
      </c>
    </row>
    <row r="20" spans="1:13" x14ac:dyDescent="0.2">
      <c r="A20" s="3">
        <f>_xlfn.XLOOKUP(B20,'[1]Customer Information'!B:B,'[1]Customer Information'!A:A)</f>
        <v>1234</v>
      </c>
      <c r="B20" s="3" t="s">
        <v>6</v>
      </c>
      <c r="C20" s="3">
        <v>10005</v>
      </c>
      <c r="D20" s="3">
        <v>7616</v>
      </c>
      <c r="E20" s="3">
        <v>78</v>
      </c>
      <c r="F20" s="4">
        <v>44579</v>
      </c>
      <c r="H20" s="3">
        <v>135992</v>
      </c>
      <c r="I20" s="3">
        <v>10010</v>
      </c>
      <c r="J20" s="3">
        <v>315</v>
      </c>
      <c r="K20" s="3" t="s">
        <v>21</v>
      </c>
      <c r="L20" s="3">
        <v>20</v>
      </c>
      <c r="M20" s="3">
        <v>9876</v>
      </c>
    </row>
    <row r="21" spans="1:13" x14ac:dyDescent="0.2">
      <c r="A21" s="3">
        <f>_xlfn.XLOOKUP(B21,'[1]Customer Information'!B:B,'[1]Customer Information'!A:A)</f>
        <v>9876</v>
      </c>
      <c r="B21" s="3" t="s">
        <v>7</v>
      </c>
      <c r="C21" s="3">
        <v>10009</v>
      </c>
      <c r="D21" s="3">
        <v>6762</v>
      </c>
      <c r="E21" s="3">
        <v>70</v>
      </c>
      <c r="F21" s="4">
        <v>44580</v>
      </c>
      <c r="H21" s="3">
        <v>132519</v>
      </c>
      <c r="I21" s="3">
        <v>10002</v>
      </c>
      <c r="J21" s="3">
        <v>759</v>
      </c>
      <c r="K21" s="3" t="s">
        <v>19</v>
      </c>
      <c r="L21" s="3">
        <v>28</v>
      </c>
      <c r="M21" s="3">
        <v>1234</v>
      </c>
    </row>
    <row r="22" spans="1:13" x14ac:dyDescent="0.2">
      <c r="A22" s="3">
        <f>_xlfn.XLOOKUP(B22,'[1]Customer Information'!B:B,'[1]Customer Information'!A:A)</f>
        <v>2468</v>
      </c>
      <c r="B22" s="3" t="s">
        <v>8</v>
      </c>
      <c r="C22" s="3">
        <v>10005</v>
      </c>
      <c r="D22" s="3">
        <v>4556</v>
      </c>
      <c r="E22" s="3">
        <v>4</v>
      </c>
      <c r="F22" s="4">
        <v>44581</v>
      </c>
      <c r="H22" s="3">
        <v>194710</v>
      </c>
      <c r="I22" s="3">
        <v>10004</v>
      </c>
      <c r="J22" s="3">
        <v>926</v>
      </c>
      <c r="K22" s="3" t="s">
        <v>23</v>
      </c>
      <c r="L22" s="3">
        <v>25</v>
      </c>
      <c r="M22" s="3">
        <v>9876</v>
      </c>
    </row>
    <row r="23" spans="1:13" x14ac:dyDescent="0.2">
      <c r="A23" s="3">
        <f>_xlfn.XLOOKUP(B23,'[1]Customer Information'!B:B,'[1]Customer Information'!A:A)</f>
        <v>1357</v>
      </c>
      <c r="B23" s="3" t="s">
        <v>9</v>
      </c>
      <c r="C23" s="3">
        <v>10008</v>
      </c>
      <c r="D23" s="3">
        <v>2659</v>
      </c>
      <c r="E23" s="3">
        <v>73</v>
      </c>
      <c r="F23" s="4">
        <v>44582</v>
      </c>
      <c r="H23" s="3">
        <v>150412</v>
      </c>
      <c r="I23" s="3">
        <v>10009</v>
      </c>
      <c r="J23" s="3">
        <v>561</v>
      </c>
      <c r="K23" s="3" t="s">
        <v>23</v>
      </c>
      <c r="L23" s="3">
        <v>65</v>
      </c>
      <c r="M23" s="3">
        <v>1234</v>
      </c>
    </row>
    <row r="24" spans="1:13" x14ac:dyDescent="0.2">
      <c r="A24" s="3">
        <f>_xlfn.XLOOKUP(B24,'[1]Customer Information'!B:B,'[1]Customer Information'!A:A)</f>
        <v>1234</v>
      </c>
      <c r="B24" s="3" t="s">
        <v>6</v>
      </c>
      <c r="C24" s="3">
        <v>10005</v>
      </c>
      <c r="D24" s="3">
        <v>5020</v>
      </c>
      <c r="E24" s="3">
        <v>30</v>
      </c>
      <c r="F24" s="4">
        <v>44583</v>
      </c>
      <c r="H24" s="3">
        <v>139566</v>
      </c>
      <c r="I24" s="3">
        <v>10003</v>
      </c>
      <c r="J24" s="3">
        <v>321</v>
      </c>
      <c r="K24" s="3" t="s">
        <v>17</v>
      </c>
      <c r="L24" s="3">
        <v>44</v>
      </c>
      <c r="M24" s="3">
        <v>9876</v>
      </c>
    </row>
    <row r="25" spans="1:13" x14ac:dyDescent="0.2">
      <c r="A25" s="3">
        <f>_xlfn.XLOOKUP(B25,'[1]Customer Information'!B:B,'[1]Customer Information'!A:A)</f>
        <v>9876</v>
      </c>
      <c r="B25" s="3" t="s">
        <v>7</v>
      </c>
      <c r="C25" s="3">
        <v>10009</v>
      </c>
      <c r="D25" s="3">
        <v>3887</v>
      </c>
      <c r="E25" s="3">
        <v>49</v>
      </c>
      <c r="F25" s="4">
        <v>44584</v>
      </c>
      <c r="H25" s="3">
        <v>172087</v>
      </c>
      <c r="I25" s="3">
        <v>10004</v>
      </c>
      <c r="J25" s="3">
        <v>748</v>
      </c>
      <c r="K25" s="3" t="s">
        <v>23</v>
      </c>
      <c r="L25" s="3">
        <v>37</v>
      </c>
      <c r="M25" s="3">
        <v>2468</v>
      </c>
    </row>
    <row r="26" spans="1:13" x14ac:dyDescent="0.2">
      <c r="A26" s="3">
        <f>_xlfn.XLOOKUP(B26,'[1]Customer Information'!B:B,'[1]Customer Information'!A:A)</f>
        <v>2468</v>
      </c>
      <c r="B26" s="3" t="s">
        <v>8</v>
      </c>
      <c r="C26" s="3">
        <v>10001</v>
      </c>
      <c r="D26" s="3">
        <v>1341</v>
      </c>
      <c r="E26" s="3">
        <v>66</v>
      </c>
      <c r="F26" s="4">
        <v>44585</v>
      </c>
      <c r="H26" s="3">
        <v>158933</v>
      </c>
      <c r="I26" s="3">
        <v>10005</v>
      </c>
      <c r="J26" s="3">
        <v>28</v>
      </c>
      <c r="K26" s="3" t="s">
        <v>16</v>
      </c>
      <c r="L26" s="3">
        <v>41</v>
      </c>
      <c r="M26" s="3">
        <v>1357</v>
      </c>
    </row>
    <row r="27" spans="1:13" x14ac:dyDescent="0.2">
      <c r="A27" s="3">
        <f>_xlfn.XLOOKUP(B27,'[1]Customer Information'!B:B,'[1]Customer Information'!A:A)</f>
        <v>1357</v>
      </c>
      <c r="B27" s="3" t="s">
        <v>9</v>
      </c>
      <c r="C27" s="3">
        <v>10006</v>
      </c>
      <c r="D27" s="3">
        <v>8459</v>
      </c>
      <c r="E27" s="3">
        <v>4</v>
      </c>
      <c r="F27" s="4">
        <v>44586</v>
      </c>
      <c r="H27" s="3">
        <v>141503</v>
      </c>
      <c r="I27" s="3">
        <v>10006</v>
      </c>
      <c r="J27" s="3">
        <v>501</v>
      </c>
      <c r="K27" s="3" t="s">
        <v>20</v>
      </c>
      <c r="L27" s="3">
        <v>64</v>
      </c>
      <c r="M27" s="3">
        <v>9876</v>
      </c>
    </row>
    <row r="28" spans="1:13" x14ac:dyDescent="0.2">
      <c r="A28" s="3">
        <f>_xlfn.XLOOKUP(B28,'[1]Customer Information'!B:B,'[1]Customer Information'!A:A)</f>
        <v>1234</v>
      </c>
      <c r="B28" s="3" t="s">
        <v>6</v>
      </c>
      <c r="C28" s="3">
        <v>10001</v>
      </c>
      <c r="D28" s="3">
        <v>7175</v>
      </c>
      <c r="E28" s="3">
        <v>5</v>
      </c>
      <c r="F28" s="4">
        <v>44587</v>
      </c>
      <c r="H28" s="3">
        <v>185945</v>
      </c>
      <c r="I28" s="3">
        <v>10006</v>
      </c>
      <c r="J28" s="3">
        <v>330</v>
      </c>
      <c r="K28" s="3" t="s">
        <v>23</v>
      </c>
      <c r="L28" s="3">
        <v>29</v>
      </c>
      <c r="M28" s="3">
        <v>2468</v>
      </c>
    </row>
    <row r="29" spans="1:13" x14ac:dyDescent="0.2">
      <c r="A29" s="3">
        <f>_xlfn.XLOOKUP(B29,'[1]Customer Information'!B:B,'[1]Customer Information'!A:A)</f>
        <v>9876</v>
      </c>
      <c r="B29" s="3" t="s">
        <v>7</v>
      </c>
      <c r="C29" s="3">
        <v>10009</v>
      </c>
      <c r="D29" s="3">
        <v>4267</v>
      </c>
      <c r="E29" s="3">
        <v>71</v>
      </c>
      <c r="F29" s="4">
        <v>44588</v>
      </c>
      <c r="H29" s="3">
        <v>116120</v>
      </c>
      <c r="I29" s="3">
        <v>10005</v>
      </c>
      <c r="J29" s="3">
        <v>879</v>
      </c>
      <c r="K29" s="3" t="s">
        <v>22</v>
      </c>
      <c r="L29" s="3">
        <v>72</v>
      </c>
      <c r="M29" s="3">
        <v>1357</v>
      </c>
    </row>
    <row r="30" spans="1:13" x14ac:dyDescent="0.2">
      <c r="A30" s="3">
        <f>_xlfn.XLOOKUP(B30,'[1]Customer Information'!B:B,'[1]Customer Information'!A:A)</f>
        <v>2468</v>
      </c>
      <c r="B30" s="3" t="s">
        <v>8</v>
      </c>
      <c r="C30" s="3">
        <v>10007</v>
      </c>
      <c r="D30" s="3">
        <v>1157</v>
      </c>
      <c r="E30" s="3">
        <v>57</v>
      </c>
      <c r="F30" s="4">
        <v>44589</v>
      </c>
      <c r="H30" s="3">
        <v>105285</v>
      </c>
      <c r="I30" s="3">
        <v>10010</v>
      </c>
      <c r="J30" s="3">
        <v>170</v>
      </c>
      <c r="K30" s="3" t="s">
        <v>23</v>
      </c>
      <c r="L30" s="3">
        <v>72</v>
      </c>
      <c r="M30" s="3">
        <v>1234</v>
      </c>
    </row>
    <row r="31" spans="1:13" x14ac:dyDescent="0.2">
      <c r="A31" s="3">
        <f>_xlfn.XLOOKUP(B31,'[1]Customer Information'!B:B,'[1]Customer Information'!A:A)</f>
        <v>1357</v>
      </c>
      <c r="B31" s="3" t="s">
        <v>9</v>
      </c>
      <c r="C31" s="3">
        <v>10008</v>
      </c>
      <c r="D31" s="3">
        <v>1753</v>
      </c>
      <c r="E31" s="3">
        <v>9</v>
      </c>
      <c r="F31" s="4">
        <v>44590</v>
      </c>
      <c r="H31" s="3">
        <v>106604</v>
      </c>
      <c r="I31" s="3">
        <v>10005</v>
      </c>
      <c r="J31" s="3">
        <v>94</v>
      </c>
      <c r="K31" s="3" t="s">
        <v>23</v>
      </c>
      <c r="L31" s="3">
        <v>65</v>
      </c>
      <c r="M31" s="3">
        <v>9876</v>
      </c>
    </row>
    <row r="32" spans="1:13" x14ac:dyDescent="0.2">
      <c r="A32" s="3">
        <f>_xlfn.XLOOKUP(B32,'[1]Customer Information'!B:B,'[1]Customer Information'!A:A)</f>
        <v>1234</v>
      </c>
      <c r="B32" s="3" t="s">
        <v>6</v>
      </c>
      <c r="C32" s="3">
        <v>10006</v>
      </c>
      <c r="D32" s="3">
        <v>1913</v>
      </c>
      <c r="E32" s="3">
        <v>16</v>
      </c>
      <c r="F32" s="4">
        <v>44591</v>
      </c>
      <c r="H32" s="3">
        <v>157430</v>
      </c>
      <c r="I32" s="3">
        <v>10007</v>
      </c>
      <c r="J32" s="3">
        <v>9</v>
      </c>
      <c r="K32" s="3" t="s">
        <v>23</v>
      </c>
      <c r="L32" s="3">
        <v>34</v>
      </c>
      <c r="M32" s="3">
        <v>2468</v>
      </c>
    </row>
    <row r="33" spans="1:13" x14ac:dyDescent="0.2">
      <c r="A33" s="3">
        <f>_xlfn.XLOOKUP(B33,'[1]Customer Information'!B:B,'[1]Customer Information'!A:A)</f>
        <v>1234</v>
      </c>
      <c r="B33" s="3" t="s">
        <v>6</v>
      </c>
      <c r="C33" s="3">
        <v>10007</v>
      </c>
      <c r="D33" s="3">
        <v>4133</v>
      </c>
      <c r="E33" s="3">
        <v>46</v>
      </c>
      <c r="F33" s="4">
        <v>44592</v>
      </c>
      <c r="H33" s="3">
        <v>171415</v>
      </c>
      <c r="I33" s="3">
        <v>10009</v>
      </c>
      <c r="J33" s="3">
        <v>279</v>
      </c>
      <c r="K33" s="3" t="s">
        <v>17</v>
      </c>
      <c r="L33" s="3">
        <v>18</v>
      </c>
      <c r="M33" s="3">
        <v>1357</v>
      </c>
    </row>
    <row r="34" spans="1:13" x14ac:dyDescent="0.2">
      <c r="A34" s="3">
        <f>_xlfn.XLOOKUP(B34,'[1]Customer Information'!B:B,'[1]Customer Information'!A:A)</f>
        <v>1234</v>
      </c>
      <c r="B34" s="3" t="s">
        <v>6</v>
      </c>
      <c r="C34" s="3">
        <v>10007</v>
      </c>
      <c r="D34" s="3">
        <v>9562</v>
      </c>
      <c r="E34" s="3">
        <v>50</v>
      </c>
      <c r="F34" s="4">
        <v>44593</v>
      </c>
      <c r="H34" s="3">
        <v>130468</v>
      </c>
      <c r="I34" s="3">
        <v>10009</v>
      </c>
      <c r="J34" s="3">
        <v>678</v>
      </c>
      <c r="K34" s="3" t="s">
        <v>23</v>
      </c>
      <c r="L34" s="3">
        <v>58</v>
      </c>
      <c r="M34" s="3">
        <v>9876</v>
      </c>
    </row>
    <row r="35" spans="1:13" x14ac:dyDescent="0.2">
      <c r="A35" s="3">
        <f>_xlfn.XLOOKUP(B35,'[1]Customer Information'!B:B,'[1]Customer Information'!A:A)</f>
        <v>9876</v>
      </c>
      <c r="B35" s="3" t="s">
        <v>7</v>
      </c>
      <c r="C35" s="3">
        <v>10008</v>
      </c>
      <c r="D35" s="3">
        <v>3075</v>
      </c>
      <c r="E35" s="3">
        <v>11</v>
      </c>
      <c r="F35" s="4">
        <v>44594</v>
      </c>
      <c r="H35" s="3">
        <v>102373</v>
      </c>
      <c r="I35" s="3">
        <v>10006</v>
      </c>
      <c r="J35" s="3">
        <v>241</v>
      </c>
      <c r="K35" s="3" t="s">
        <v>20</v>
      </c>
      <c r="L35" s="3">
        <v>28</v>
      </c>
      <c r="M35" s="3">
        <v>2468</v>
      </c>
    </row>
    <row r="36" spans="1:13" x14ac:dyDescent="0.2">
      <c r="A36" s="3">
        <f>_xlfn.XLOOKUP(B36,'[1]Customer Information'!B:B,'[1]Customer Information'!A:A)</f>
        <v>2468</v>
      </c>
      <c r="B36" s="3" t="s">
        <v>8</v>
      </c>
      <c r="C36" s="3">
        <v>10003</v>
      </c>
      <c r="D36" s="3">
        <v>7854</v>
      </c>
      <c r="E36" s="3">
        <v>66</v>
      </c>
      <c r="F36" s="4">
        <v>44595</v>
      </c>
      <c r="H36" s="3">
        <v>162348</v>
      </c>
      <c r="I36" s="3">
        <v>10009</v>
      </c>
      <c r="J36" s="3">
        <v>163</v>
      </c>
      <c r="K36" s="3" t="s">
        <v>19</v>
      </c>
      <c r="L36" s="3">
        <v>57</v>
      </c>
      <c r="M36" s="3">
        <v>1234</v>
      </c>
    </row>
    <row r="37" spans="1:13" x14ac:dyDescent="0.2">
      <c r="A37" s="3">
        <f>_xlfn.XLOOKUP(B37,'[1]Customer Information'!B:B,'[1]Customer Information'!A:A)</f>
        <v>1357</v>
      </c>
      <c r="B37" s="3" t="s">
        <v>9</v>
      </c>
      <c r="C37" s="3">
        <v>10005</v>
      </c>
      <c r="D37" s="3">
        <v>9057</v>
      </c>
      <c r="E37" s="3">
        <v>55</v>
      </c>
      <c r="F37" s="4">
        <v>44596</v>
      </c>
      <c r="H37" s="3">
        <v>196477</v>
      </c>
      <c r="I37" s="3">
        <v>10004</v>
      </c>
      <c r="J37" s="3">
        <v>972</v>
      </c>
      <c r="K37" s="3" t="s">
        <v>23</v>
      </c>
      <c r="L37" s="3">
        <v>46</v>
      </c>
      <c r="M37" s="3">
        <v>9876</v>
      </c>
    </row>
    <row r="38" spans="1:13" x14ac:dyDescent="0.2">
      <c r="A38" s="3">
        <f>_xlfn.XLOOKUP(B38,'[1]Customer Information'!B:B,'[1]Customer Information'!A:A)</f>
        <v>1234</v>
      </c>
      <c r="B38" s="3" t="s">
        <v>6</v>
      </c>
      <c r="C38" s="3">
        <v>10002</v>
      </c>
      <c r="D38" s="3">
        <v>5779</v>
      </c>
      <c r="E38" s="3">
        <v>32</v>
      </c>
      <c r="F38" s="4">
        <v>44597</v>
      </c>
      <c r="H38" s="3">
        <v>164354</v>
      </c>
      <c r="I38" s="3">
        <v>10008</v>
      </c>
      <c r="J38" s="3">
        <v>775</v>
      </c>
      <c r="K38" s="3" t="s">
        <v>23</v>
      </c>
      <c r="L38" s="3">
        <v>22</v>
      </c>
      <c r="M38" s="3">
        <v>1234</v>
      </c>
    </row>
    <row r="39" spans="1:13" x14ac:dyDescent="0.2">
      <c r="A39" s="3">
        <f>_xlfn.XLOOKUP(B39,'[1]Customer Information'!B:B,'[1]Customer Information'!A:A)</f>
        <v>9876</v>
      </c>
      <c r="B39" s="3" t="s">
        <v>7</v>
      </c>
      <c r="C39" s="3">
        <v>10001</v>
      </c>
      <c r="D39" s="3">
        <v>3587</v>
      </c>
      <c r="E39" s="3">
        <v>48</v>
      </c>
      <c r="F39" s="4">
        <v>44598</v>
      </c>
      <c r="H39" s="3">
        <v>172071</v>
      </c>
      <c r="I39" s="3">
        <v>10002</v>
      </c>
      <c r="J39" s="3">
        <v>151</v>
      </c>
      <c r="K39" s="3" t="s">
        <v>18</v>
      </c>
      <c r="L39" s="3">
        <v>30</v>
      </c>
      <c r="M39" s="3">
        <v>9876</v>
      </c>
    </row>
    <row r="40" spans="1:13" x14ac:dyDescent="0.2">
      <c r="A40" s="6"/>
      <c r="B40" s="6"/>
      <c r="C40" s="6"/>
      <c r="D40" s="6"/>
      <c r="E40" s="6"/>
      <c r="F40" s="7"/>
      <c r="G40" s="6"/>
    </row>
    <row r="41" spans="1:13" x14ac:dyDescent="0.2">
      <c r="A41" s="6"/>
      <c r="B41" s="6"/>
      <c r="C41" s="6"/>
      <c r="D41" s="6"/>
      <c r="E41" s="6"/>
      <c r="F41" s="7"/>
      <c r="G41" s="6"/>
    </row>
    <row r="42" spans="1:13" x14ac:dyDescent="0.2">
      <c r="A42" s="6"/>
      <c r="B42" s="6"/>
      <c r="C42" s="6"/>
      <c r="D42" s="6"/>
      <c r="E42" s="6"/>
      <c r="F42" s="7"/>
      <c r="G42" s="6"/>
    </row>
    <row r="43" spans="1:13" x14ac:dyDescent="0.2">
      <c r="A43" s="6"/>
      <c r="B43" s="6"/>
      <c r="C43" s="6"/>
      <c r="D43" s="6"/>
      <c r="E43" s="6"/>
      <c r="F43" s="7"/>
      <c r="G43" s="6"/>
    </row>
    <row r="44" spans="1:13" x14ac:dyDescent="0.2">
      <c r="A44" s="6"/>
      <c r="B44" s="6"/>
      <c r="C44" s="6"/>
      <c r="D44" s="6"/>
      <c r="E44" s="6"/>
      <c r="F44" s="7"/>
      <c r="G44" s="6"/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Proj_Sample-Business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p</dc:creator>
  <cp:lastModifiedBy>e p</cp:lastModifiedBy>
  <dcterms:created xsi:type="dcterms:W3CDTF">2026-01-02T20:52:24Z</dcterms:created>
  <dcterms:modified xsi:type="dcterms:W3CDTF">2026-01-02T21:04:19Z</dcterms:modified>
</cp:coreProperties>
</file>